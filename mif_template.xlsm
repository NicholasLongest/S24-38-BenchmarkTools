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ho\Homework\Spring_2024\MDE\PythonShenanigans\DE1_Test_Script\"/>
    </mc:Choice>
  </mc:AlternateContent>
  <xr:revisionPtr revIDLastSave="0" documentId="13_ncr:1_{38A419FF-F525-4750-AFA4-8D15913BC7B4}" xr6:coauthVersionLast="47" xr6:coauthVersionMax="47" xr10:uidLastSave="{00000000-0000-0000-0000-000000000000}"/>
  <bookViews>
    <workbookView xWindow="-96" yWindow="-96" windowWidth="23232" windowHeight="12552" xr2:uid="{9E7D56F6-4A35-4037-A021-500839245C6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1" l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M16" i="1"/>
  <c r="M15" i="1"/>
  <c r="M14" i="1"/>
  <c r="M13" i="1"/>
  <c r="M12" i="1"/>
  <c r="L16" i="1"/>
  <c r="L15" i="1"/>
  <c r="L14" i="1"/>
  <c r="L13" i="1"/>
  <c r="L12" i="1"/>
  <c r="L2" i="1"/>
  <c r="D2" i="1"/>
  <c r="M11" i="1"/>
  <c r="M10" i="1"/>
  <c r="M9" i="1"/>
  <c r="M8" i="1"/>
  <c r="M7" i="1"/>
  <c r="M6" i="1"/>
  <c r="M5" i="1"/>
  <c r="M4" i="1"/>
  <c r="M3" i="1"/>
  <c r="M2" i="1"/>
  <c r="L11" i="1"/>
  <c r="L10" i="1"/>
  <c r="L9" i="1"/>
  <c r="L8" i="1"/>
  <c r="L7" i="1"/>
  <c r="L6" i="1"/>
  <c r="L5" i="1"/>
  <c r="L4" i="1"/>
  <c r="L3" i="1"/>
  <c r="D17" i="1" l="1"/>
</calcChain>
</file>

<file path=xl/sharedStrings.xml><?xml version="1.0" encoding="utf-8"?>
<sst xmlns="http://schemas.openxmlformats.org/spreadsheetml/2006/main" count="25" uniqueCount="20">
  <si>
    <t>Frequency</t>
  </si>
  <si>
    <t>Correct</t>
  </si>
  <si>
    <t>Incorrect</t>
  </si>
  <si>
    <t>125</t>
  </si>
  <si>
    <t>150</t>
  </si>
  <si>
    <t>155</t>
  </si>
  <si>
    <t>160</t>
  </si>
  <si>
    <t>165</t>
  </si>
  <si>
    <t>Heated 90°C</t>
  </si>
  <si>
    <t>Room Temp</t>
  </si>
  <si>
    <t>115</t>
  </si>
  <si>
    <t>120</t>
  </si>
  <si>
    <t>130</t>
  </si>
  <si>
    <t>135</t>
  </si>
  <si>
    <t>140</t>
  </si>
  <si>
    <t>145</t>
  </si>
  <si>
    <t>170</t>
  </si>
  <si>
    <t>175</t>
  </si>
  <si>
    <t>180</t>
  </si>
  <si>
    <t>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</si>
</sst>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AF9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1" fillId="2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% Incorrect</a:t>
            </a:r>
            <a:r>
              <a:rPr lang="en-US" baseline="0"/>
              <a:t> RAM Output</a:t>
            </a:r>
            <a:endParaRPr lang="en-US" sz="1400" b="0" i="0" u="none" strike="noStrike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Sheet1!$L$1</c:f>
              <c:strCache>
                <c:ptCount val="1"/>
                <c:pt idx="0">
                  <c:v>Room Temp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Sheet1!$E$2:$E$16</c:f>
              <c:numCache>
                <c:formatCode>General</c:formatCode>
                <c:ptCount val="15"/>
                <c:pt idx="0">
                  <c:v>115</c:v>
                </c:pt>
                <c:pt idx="1">
                  <c:v>120</c:v>
                </c:pt>
                <c:pt idx="2">
                  <c:v>125</c:v>
                </c:pt>
                <c:pt idx="3">
                  <c:v>130</c:v>
                </c:pt>
                <c:pt idx="4">
                  <c:v>135</c:v>
                </c:pt>
                <c:pt idx="5">
                  <c:v>140</c:v>
                </c:pt>
                <c:pt idx="6">
                  <c:v>145</c:v>
                </c:pt>
                <c:pt idx="7">
                  <c:v>150</c:v>
                </c:pt>
                <c:pt idx="8">
                  <c:v>155</c:v>
                </c:pt>
                <c:pt idx="9">
                  <c:v>160</c:v>
                </c:pt>
                <c:pt idx="10">
                  <c:v>165</c:v>
                </c:pt>
                <c:pt idx="11">
                  <c:v>170</c:v>
                </c:pt>
                <c:pt idx="12">
                  <c:v>175</c:v>
                </c:pt>
                <c:pt idx="13">
                  <c:v>180</c:v>
                </c:pt>
                <c:pt idx="14">
                  <c:v>185</c:v>
                </c:pt>
              </c:numCache>
            </c:numRef>
          </c:cat>
          <c:val>
            <c:numRef>
              <c:f>Sheet1!$L$2:$L$16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1.177978515625</c:v>
                </c:pt>
                <c:pt idx="4">
                  <c:v>1.6998291015625</c:v>
                </c:pt>
                <c:pt idx="5">
                  <c:v>2.16064453125</c:v>
                </c:pt>
                <c:pt idx="6">
                  <c:v>2.2308349609375</c:v>
                </c:pt>
                <c:pt idx="7">
                  <c:v>2.2491455078125</c:v>
                </c:pt>
                <c:pt idx="8">
                  <c:v>2.2552490234375</c:v>
                </c:pt>
                <c:pt idx="9">
                  <c:v>2.3162841796875</c:v>
                </c:pt>
                <c:pt idx="10">
                  <c:v>2.42919921875</c:v>
                </c:pt>
                <c:pt idx="11">
                  <c:v>2.5634765625</c:v>
                </c:pt>
                <c:pt idx="12">
                  <c:v>2.679443359375</c:v>
                </c:pt>
                <c:pt idx="13">
                  <c:v>99.6826171875</c:v>
                </c:pt>
                <c:pt idx="14">
                  <c:v>99.7589111328125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F-43C4-837A-15DCD710879A}"/>
            </c:ext>
          </c:extLst>
        </c:ser>
        <c:ser>
          <c:idx val="1"/>
          <c:order val="1"/>
          <c:tx>
            <c:strRef>
              <c:f>Sheet1!$M$1</c:f>
              <c:strCache>
                <c:ptCount val="1"/>
                <c:pt idx="0">
                  <c:v>Heated 90°C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Sheet1!$E$2:$E$16</c:f>
              <c:numCache>
                <c:formatCode>General</c:formatCode>
                <c:ptCount val="15"/>
                <c:pt idx="0">
                  <c:v>115</c:v>
                </c:pt>
                <c:pt idx="1">
                  <c:v>120</c:v>
                </c:pt>
                <c:pt idx="2">
                  <c:v>125</c:v>
                </c:pt>
                <c:pt idx="3">
                  <c:v>130</c:v>
                </c:pt>
                <c:pt idx="4">
                  <c:v>135</c:v>
                </c:pt>
                <c:pt idx="5">
                  <c:v>140</c:v>
                </c:pt>
                <c:pt idx="6">
                  <c:v>145</c:v>
                </c:pt>
                <c:pt idx="7">
                  <c:v>150</c:v>
                </c:pt>
                <c:pt idx="8">
                  <c:v>155</c:v>
                </c:pt>
                <c:pt idx="9">
                  <c:v>160</c:v>
                </c:pt>
                <c:pt idx="10">
                  <c:v>165</c:v>
                </c:pt>
                <c:pt idx="11">
                  <c:v>170</c:v>
                </c:pt>
                <c:pt idx="12">
                  <c:v>175</c:v>
                </c:pt>
                <c:pt idx="13">
                  <c:v>180</c:v>
                </c:pt>
                <c:pt idx="14">
                  <c:v>185</c:v>
                </c:pt>
              </c:numCache>
            </c:numRef>
          </c:cat>
          <c:val>
            <c:numRef>
              <c:f>Sheet1!$M$2:$M$16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2.197265625</c:v>
                </c:pt>
                <c:pt idx="4">
                  <c:v>2.239990234375</c:v>
                </c:pt>
                <c:pt idx="5">
                  <c:v>2.2491455078125</c:v>
                </c:pt>
                <c:pt idx="6">
                  <c:v>2.2705078125</c:v>
                </c:pt>
                <c:pt idx="7">
                  <c:v>2.337646484375</c:v>
                </c:pt>
                <c:pt idx="8">
                  <c:v>2.5146484375</c:v>
                </c:pt>
                <c:pt idx="9">
                  <c:v>2.6397705078125</c:v>
                </c:pt>
                <c:pt idx="10">
                  <c:v>99.69482421875</c:v>
                </c:pt>
                <c:pt idx="11">
                  <c:v>99.8046875</c:v>
                </c:pt>
                <c:pt idx="12">
                  <c:v>99.7772216796875</c:v>
                </c:pt>
                <c:pt idx="13">
                  <c:v>99.798583984375</c:v>
                </c:pt>
                <c:pt idx="14">
                  <c:v>99.79248046875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F-43C4-837A-15DCD7108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86391871"/>
        <c:axId val="1986394751"/>
      </c:barChart>
      <c:catAx>
        <c:axId val="1986391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Clock</a:t>
                </a:r>
                <a:r>
                  <a:rPr lang="en-US" baseline="0"/>
                  <a:t> Frequency (MHz)</a:t>
                </a:r>
              </a:p>
            </c:rich>
          </c:tx>
          <c:layout>
            <c:manualLayout>
              <c:xMode val="edge"/>
              <c:yMode val="edge"/>
              <c:x val="0.37209451004606381"/>
              <c:y val="0.8992427872814056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394751"/>
        <c:crosses val="autoZero"/>
        <c:auto val="1"/>
        <c:lblAlgn val="ctr"/>
        <c:lblOffset val="100"/>
        <c:noMultiLvlLbl val="0"/>
      </c:catAx>
      <c:valAx>
        <c:axId val="1986394751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391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411480</xdr:colOff>
      <xdr:row>6</xdr:row>
      <xdr:rowOff>64770</xdr:rowOff>
    </xdr:from>
    <xdr:to>
      <xdr:col>20</xdr:col>
      <xdr:colOff>609600</xdr:colOff>
      <xdr:row>21</xdr:row>
      <xdr:rowOff>74295</xdr:rowOff>
    </xdr:to>
    <xdr:graphicFrame macro="">
      <xdr:nvGraphicFramePr>
        <xdr:cNvPr id="55" name="Correct_Graph">
          <a:extLst>
            <a:ext uri="{FF2B5EF4-FFF2-40B4-BE49-F238E27FC236}">
              <a16:creationId xmlns:a16="http://schemas.microsoft.com/office/drawing/2014/main" id="{FBA4592A-8020-2F6D-AB29-5208CF57C7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2E190-3802-4AD0-B92A-0518476EA5E6}">
  <sheetPr codeName="Sheet1"/>
  <dimension ref="A1:Z1000"/>
  <sheetViews>
    <sheetView tabSelected="1" workbookViewId="0">
      <selection activeCell="E20" sqref="E20"/>
    </sheetView>
  </sheetViews>
  <sheetFormatPr defaultRowHeight="14.4" x14ac:dyDescent="0.55000000000000004"/>
  <cols>
    <col min="4" max="4" width="11.15625" bestFit="1" customWidth="1"/>
  </cols>
  <sheetData>
    <row r="1" spans="1:26" ht="28.8" x14ac:dyDescent="0.55000000000000004">
      <c r="A1" s="1" t="s">
        <v>0</v>
      </c>
      <c r="B1" s="2" t="s">
        <v>9</v>
      </c>
      <c r="C1" s="2" t="s">
        <v>8</v>
      </c>
      <c r="D1" s="2"/>
      <c r="E1" s="2" t="s">
        <v>0</v>
      </c>
      <c r="F1" s="2" t="s">
        <v>1</v>
      </c>
      <c r="G1" s="2" t="s">
        <v>2</v>
      </c>
      <c r="H1" s="2" t="s">
        <v>1</v>
      </c>
      <c r="I1" s="2" t="s">
        <v>2</v>
      </c>
      <c r="J1" s="2"/>
      <c r="K1" s="2"/>
      <c r="L1" s="2" t="s">
        <v>9</v>
      </c>
      <c r="M1" s="2" t="s">
        <v>8</v>
      </c>
      <c r="W1" s="2"/>
      <c r="X1" s="2"/>
      <c r="Y1" s="2"/>
      <c r="Z1" s="2"/>
    </row>
    <row r="2" spans="1:26" x14ac:dyDescent="0.55000000000000004">
      <c r="A2" s="1" t="s">
        <v>10</v>
      </c>
      <c r="B2" s="2">
        <v>3.9900744000000001</v>
      </c>
      <c r="C2" s="2">
        <v>4.4904209999999996</v>
      </c>
      <c r="D2" s="2">
        <f>(C2-B2)/B2</f>
        <v>0.12539781213102177</v>
      </c>
      <c r="E2" s="2">
        <v>115</v>
      </c>
      <c r="F2" s="2">
        <v>32768</v>
      </c>
      <c r="G2" s="2">
        <v>0</v>
      </c>
      <c r="H2" s="2">
        <v>32768</v>
      </c>
      <c r="I2" s="2">
        <v>0</v>
      </c>
      <c r="J2" s="2"/>
      <c r="K2" s="2"/>
      <c r="L2" s="2">
        <f t="shared" ref="L2:L16" si="0">I2/32768*100</f>
        <v>0</v>
      </c>
      <c r="M2" s="2">
        <f>G2/32768*100</f>
        <v>0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55000000000000004">
      <c r="A3" s="2" t="s">
        <v>11</v>
      </c>
      <c r="B3" s="2">
        <v>4.0106640000000002</v>
      </c>
      <c r="C3" s="2">
        <v>4.627656</v>
      </c>
      <c r="D3" s="2">
        <f t="shared" ref="D3:D16" si="1">(C3-B3)/B3</f>
        <v>0.1538378682432634</v>
      </c>
      <c r="E3" s="2">
        <v>120</v>
      </c>
      <c r="F3" s="2">
        <v>32768</v>
      </c>
      <c r="G3" s="2">
        <v>0</v>
      </c>
      <c r="H3" s="2">
        <v>32768</v>
      </c>
      <c r="I3" s="2">
        <v>0</v>
      </c>
      <c r="J3" s="2"/>
      <c r="K3" s="2"/>
      <c r="L3" s="2">
        <f t="shared" si="0"/>
        <v>0</v>
      </c>
      <c r="M3" s="2">
        <f t="shared" ref="M3:M16" si="2">G3/32768*100</f>
        <v>0</v>
      </c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55000000000000004">
      <c r="A4" s="2" t="s">
        <v>3</v>
      </c>
      <c r="B4" s="2">
        <v>4.0335485999999996</v>
      </c>
      <c r="C4" s="2">
        <v>4.7304636000000002</v>
      </c>
      <c r="D4" s="2">
        <f t="shared" si="1"/>
        <v>0.17277962139838868</v>
      </c>
      <c r="E4" s="2">
        <v>125</v>
      </c>
      <c r="F4" s="2">
        <v>32768</v>
      </c>
      <c r="G4" s="2">
        <v>0</v>
      </c>
      <c r="H4" s="2">
        <v>32768</v>
      </c>
      <c r="I4" s="2">
        <v>0</v>
      </c>
      <c r="J4" s="2"/>
      <c r="K4" s="2"/>
      <c r="L4" s="2">
        <f t="shared" si="0"/>
        <v>0</v>
      </c>
      <c r="M4" s="2">
        <f t="shared" si="2"/>
        <v>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55000000000000004">
      <c r="A5" s="2" t="s">
        <v>12</v>
      </c>
      <c r="B5" s="2">
        <v>4.0678397999999998</v>
      </c>
      <c r="C5" s="2">
        <v>4.7801771999999998</v>
      </c>
      <c r="D5" s="2">
        <f t="shared" si="1"/>
        <v>0.17511441822266452</v>
      </c>
      <c r="E5" s="2">
        <v>130</v>
      </c>
      <c r="F5" s="2">
        <v>32048</v>
      </c>
      <c r="G5" s="2">
        <v>720</v>
      </c>
      <c r="H5" s="2">
        <v>32382</v>
      </c>
      <c r="I5" s="2">
        <v>386</v>
      </c>
      <c r="J5" s="2"/>
      <c r="K5" s="2"/>
      <c r="L5" s="2">
        <f t="shared" si="0"/>
        <v>1.177978515625</v>
      </c>
      <c r="M5" s="2">
        <f t="shared" si="2"/>
        <v>2.197265625</v>
      </c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55000000000000004">
      <c r="A6" s="2" t="s">
        <v>13</v>
      </c>
      <c r="B6" s="2">
        <v>4.0950660000000001</v>
      </c>
      <c r="C6" s="2">
        <v>4.8178967999999998</v>
      </c>
      <c r="D6" s="2">
        <f t="shared" si="1"/>
        <v>0.17651261298352691</v>
      </c>
      <c r="E6" s="2">
        <v>135</v>
      </c>
      <c r="F6" s="2">
        <v>32034</v>
      </c>
      <c r="G6" s="2">
        <v>734</v>
      </c>
      <c r="H6" s="2">
        <v>32211</v>
      </c>
      <c r="I6" s="2">
        <v>557</v>
      </c>
      <c r="J6" s="2"/>
      <c r="K6" s="2"/>
      <c r="L6" s="2">
        <f t="shared" si="0"/>
        <v>1.6998291015625</v>
      </c>
      <c r="M6" s="2">
        <f t="shared" si="2"/>
        <v>2.239990234375</v>
      </c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55000000000000004">
      <c r="A7" s="2" t="s">
        <v>14</v>
      </c>
      <c r="B7" s="2">
        <v>4.1132873999999999</v>
      </c>
      <c r="C7" s="2">
        <v>4.8452712</v>
      </c>
      <c r="D7" s="2">
        <f t="shared" si="1"/>
        <v>0.17795590942660611</v>
      </c>
      <c r="E7" s="2">
        <v>140</v>
      </c>
      <c r="F7" s="2">
        <v>32031</v>
      </c>
      <c r="G7" s="2">
        <v>737</v>
      </c>
      <c r="H7" s="2">
        <v>32060</v>
      </c>
      <c r="I7" s="2">
        <v>708</v>
      </c>
      <c r="J7" s="2"/>
      <c r="K7" s="2"/>
      <c r="L7" s="2">
        <f t="shared" si="0"/>
        <v>2.16064453125</v>
      </c>
      <c r="M7" s="2">
        <f t="shared" si="2"/>
        <v>2.2491455078125</v>
      </c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55000000000000004">
      <c r="A8" s="2" t="s">
        <v>15</v>
      </c>
      <c r="B8" s="2">
        <v>4.1407997999999999</v>
      </c>
      <c r="C8" s="2">
        <v>4.8934049999999996</v>
      </c>
      <c r="D8" s="2">
        <f t="shared" si="1"/>
        <v>0.18175358296723249</v>
      </c>
      <c r="E8" s="2">
        <v>145</v>
      </c>
      <c r="F8" s="2">
        <v>32024</v>
      </c>
      <c r="G8" s="2">
        <v>744</v>
      </c>
      <c r="H8" s="2">
        <v>32037</v>
      </c>
      <c r="I8" s="2">
        <v>731</v>
      </c>
      <c r="J8" s="2"/>
      <c r="K8" s="2"/>
      <c r="L8" s="2">
        <f t="shared" si="0"/>
        <v>2.2308349609375</v>
      </c>
      <c r="M8" s="2">
        <f t="shared" si="2"/>
        <v>2.2705078125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55000000000000004">
      <c r="A9" s="2" t="s">
        <v>4</v>
      </c>
      <c r="B9" s="2">
        <v>4.1466846000000004</v>
      </c>
      <c r="C9" s="2">
        <v>4.9087842000000004</v>
      </c>
      <c r="D9" s="2">
        <f t="shared" si="1"/>
        <v>0.18378528234339306</v>
      </c>
      <c r="E9" s="2">
        <v>150</v>
      </c>
      <c r="F9" s="2">
        <v>32002</v>
      </c>
      <c r="G9" s="2">
        <v>766</v>
      </c>
      <c r="H9" s="2">
        <v>32031</v>
      </c>
      <c r="I9" s="2">
        <v>737</v>
      </c>
      <c r="J9" s="2"/>
      <c r="K9" s="2"/>
      <c r="L9" s="2">
        <f t="shared" si="0"/>
        <v>2.2491455078125</v>
      </c>
      <c r="M9" s="2">
        <f t="shared" si="2"/>
        <v>2.337646484375</v>
      </c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55000000000000004">
      <c r="A10" s="2" t="s">
        <v>5</v>
      </c>
      <c r="B10" s="2">
        <v>4.1798225999999996</v>
      </c>
      <c r="C10" s="2">
        <v>4.9495848000000002</v>
      </c>
      <c r="D10" s="2">
        <f t="shared" si="1"/>
        <v>0.18416145221091457</v>
      </c>
      <c r="E10" s="2">
        <v>155</v>
      </c>
      <c r="F10" s="2">
        <v>31944</v>
      </c>
      <c r="G10" s="2">
        <v>824</v>
      </c>
      <c r="H10" s="2">
        <v>32029</v>
      </c>
      <c r="I10" s="2">
        <v>739</v>
      </c>
      <c r="J10" s="2"/>
      <c r="K10" s="2"/>
      <c r="L10" s="2">
        <f t="shared" si="0"/>
        <v>2.2552490234375</v>
      </c>
      <c r="M10" s="2">
        <f t="shared" si="2"/>
        <v>2.5146484375</v>
      </c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55000000000000004">
      <c r="A11" s="2" t="s">
        <v>6</v>
      </c>
      <c r="B11" s="2">
        <v>4.1918021999999997</v>
      </c>
      <c r="C11" s="2">
        <v>4.9663968000000001</v>
      </c>
      <c r="D11" s="2">
        <f t="shared" si="1"/>
        <v>0.1847879654245137</v>
      </c>
      <c r="E11" s="2">
        <v>160</v>
      </c>
      <c r="F11" s="2">
        <v>31903</v>
      </c>
      <c r="G11" s="2">
        <v>865</v>
      </c>
      <c r="H11" s="2">
        <v>32009</v>
      </c>
      <c r="I11" s="2">
        <v>759</v>
      </c>
      <c r="J11" s="2"/>
      <c r="K11" s="2"/>
      <c r="L11" s="2">
        <f t="shared" si="0"/>
        <v>2.3162841796875</v>
      </c>
      <c r="M11" s="2">
        <f t="shared" si="2"/>
        <v>2.6397705078125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55000000000000004">
      <c r="A12" s="2" t="s">
        <v>7</v>
      </c>
      <c r="B12" s="2">
        <v>4.2250493999999996</v>
      </c>
      <c r="C12" s="3">
        <v>5.0022569999999993</v>
      </c>
      <c r="D12" s="2">
        <f t="shared" si="1"/>
        <v>0.18395231071144394</v>
      </c>
      <c r="E12" s="2">
        <v>165</v>
      </c>
      <c r="F12" s="2">
        <v>100</v>
      </c>
      <c r="G12" s="2">
        <v>32668</v>
      </c>
      <c r="H12" s="2">
        <v>31972</v>
      </c>
      <c r="I12" s="2">
        <v>796</v>
      </c>
      <c r="J12" s="2"/>
      <c r="K12" s="2"/>
      <c r="L12" s="2">
        <f t="shared" si="0"/>
        <v>2.42919921875</v>
      </c>
      <c r="M12" s="2">
        <f t="shared" si="2"/>
        <v>99.69482421875</v>
      </c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55000000000000004">
      <c r="A13" s="2" t="s">
        <v>16</v>
      </c>
      <c r="B13" s="2">
        <v>4.2318606000000001</v>
      </c>
      <c r="C13" s="3">
        <v>5.0122805999999995</v>
      </c>
      <c r="D13" s="2">
        <f t="shared" si="1"/>
        <v>0.18441533731049634</v>
      </c>
      <c r="E13" s="2">
        <v>170</v>
      </c>
      <c r="F13" s="2">
        <v>64</v>
      </c>
      <c r="G13" s="2">
        <v>32704</v>
      </c>
      <c r="H13" s="2">
        <v>31928</v>
      </c>
      <c r="I13" s="2">
        <v>840</v>
      </c>
      <c r="J13" s="2"/>
      <c r="K13" s="2"/>
      <c r="L13" s="2">
        <f t="shared" si="0"/>
        <v>2.5634765625</v>
      </c>
      <c r="M13" s="2">
        <f t="shared" si="2"/>
        <v>99.8046875</v>
      </c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55000000000000004">
      <c r="A14" s="2" t="s">
        <v>17</v>
      </c>
      <c r="B14" s="2">
        <v>4.2289398</v>
      </c>
      <c r="C14" s="3">
        <v>5.0586936000000007</v>
      </c>
      <c r="D14" s="2">
        <f t="shared" si="1"/>
        <v>0.1962084681366239</v>
      </c>
      <c r="E14" s="2">
        <v>175</v>
      </c>
      <c r="F14" s="2">
        <v>73</v>
      </c>
      <c r="G14" s="2">
        <v>32695</v>
      </c>
      <c r="H14" s="2">
        <v>31890</v>
      </c>
      <c r="I14" s="2">
        <v>878</v>
      </c>
      <c r="J14" s="2"/>
      <c r="K14" s="2"/>
      <c r="L14" s="2">
        <f t="shared" si="0"/>
        <v>2.679443359375</v>
      </c>
      <c r="M14" s="2">
        <f t="shared" si="2"/>
        <v>99.7772216796875</v>
      </c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55000000000000004">
      <c r="A15" s="2" t="s">
        <v>18</v>
      </c>
      <c r="B15" s="2">
        <v>4.2531467999999997</v>
      </c>
      <c r="C15" s="3">
        <v>5.0803985999999997</v>
      </c>
      <c r="D15" s="2">
        <f t="shared" si="1"/>
        <v>0.19450346740911931</v>
      </c>
      <c r="E15" s="2">
        <v>180</v>
      </c>
      <c r="F15" s="2">
        <v>66</v>
      </c>
      <c r="G15" s="2">
        <v>32702</v>
      </c>
      <c r="H15" s="2">
        <v>104</v>
      </c>
      <c r="I15" s="2">
        <v>32664</v>
      </c>
      <c r="J15" s="2"/>
      <c r="K15" s="2"/>
      <c r="L15" s="2">
        <f t="shared" si="0"/>
        <v>99.6826171875</v>
      </c>
      <c r="M15" s="2">
        <f t="shared" si="2"/>
        <v>99.798583984375</v>
      </c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55000000000000004">
      <c r="A16" s="2" t="s">
        <v>19</v>
      </c>
      <c r="B16" s="2">
        <v>4.3048656000000003</v>
      </c>
      <c r="C16" s="3">
        <v>5.1200856000000003</v>
      </c>
      <c r="D16" s="2">
        <f t="shared" si="1"/>
        <v>0.18937176575268691</v>
      </c>
      <c r="E16" s="2">
        <v>185</v>
      </c>
      <c r="F16" s="2">
        <v>68</v>
      </c>
      <c r="G16" s="2">
        <v>32700</v>
      </c>
      <c r="H16" s="2">
        <v>79</v>
      </c>
      <c r="I16" s="2">
        <v>32689</v>
      </c>
      <c r="J16" s="2"/>
      <c r="K16" s="2"/>
      <c r="L16" s="2">
        <f t="shared" si="0"/>
        <v>99.7589111328125</v>
      </c>
      <c r="M16" s="2">
        <f t="shared" si="2"/>
        <v>99.79248046875</v>
      </c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55000000000000004">
      <c r="A17" s="2"/>
      <c r="B17" s="2"/>
      <c r="C17" s="3"/>
      <c r="D17" s="2">
        <f>AVERAGE(D2:D16)</f>
        <v>0.17763585831145973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55000000000000004">
      <c r="A18" s="2"/>
      <c r="B18" s="2"/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55000000000000004">
      <c r="A19" s="2"/>
      <c r="B19" s="2"/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55000000000000004">
      <c r="A20" s="2"/>
      <c r="B20" s="2"/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55000000000000004">
      <c r="A21" s="2"/>
      <c r="B21" s="2"/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55000000000000004">
      <c r="A22" s="2"/>
      <c r="B22" s="2"/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55000000000000004">
      <c r="A23" s="2"/>
      <c r="B23" s="2"/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55000000000000004">
      <c r="A24" s="2"/>
      <c r="B24" s="2"/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55000000000000004">
      <c r="A25" s="2"/>
      <c r="B25" s="2"/>
      <c r="C25" s="3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55000000000000004">
      <c r="A26" s="2"/>
      <c r="B26" s="2"/>
      <c r="C26" s="3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55000000000000004">
      <c r="A27" s="2"/>
      <c r="B27" s="2"/>
      <c r="C27" s="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55000000000000004">
      <c r="A28" s="2"/>
      <c r="B28" s="2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55000000000000004">
      <c r="A29" s="2"/>
      <c r="B29" s="2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55000000000000004">
      <c r="A30" s="2"/>
      <c r="B30" s="2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55000000000000004">
      <c r="A31" s="2"/>
      <c r="B31" s="2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55000000000000004">
      <c r="A32" s="2"/>
      <c r="B32" s="2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55000000000000004">
      <c r="A33" s="2"/>
      <c r="B33" s="2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55000000000000004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55000000000000004">
      <c r="A35" s="2"/>
      <c r="B35" s="2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55000000000000004">
      <c r="A36" s="2"/>
      <c r="B36" s="2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55000000000000004">
      <c r="A37" s="2"/>
      <c r="B37" s="2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55000000000000004">
      <c r="A38" s="2"/>
      <c r="B38" s="2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55000000000000004">
      <c r="A39" s="2"/>
      <c r="B39" s="2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55000000000000004">
      <c r="A40" s="2"/>
      <c r="B40" s="2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55000000000000004">
      <c r="A41" s="2"/>
      <c r="B41" s="2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55000000000000004">
      <c r="A42" s="2"/>
      <c r="B42" s="2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55000000000000004">
      <c r="A43" s="2"/>
      <c r="B43" s="2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55000000000000004">
      <c r="A44" s="2"/>
      <c r="B44" s="2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55000000000000004">
      <c r="A45" s="2"/>
      <c r="B45" s="2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55000000000000004">
      <c r="A46" s="2"/>
      <c r="B46" s="2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55000000000000004">
      <c r="A47" s="2"/>
      <c r="B47" s="2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55000000000000004">
      <c r="A48" s="2"/>
      <c r="B48" s="2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55000000000000004">
      <c r="A49" s="2"/>
      <c r="B49" s="2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55000000000000004">
      <c r="A50" s="2"/>
      <c r="B50" s="2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55000000000000004">
      <c r="A51" s="2"/>
      <c r="B51" s="2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55000000000000004">
      <c r="A52" s="2"/>
      <c r="B52" s="2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55000000000000004">
      <c r="A53" s="2"/>
      <c r="B53" s="2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55000000000000004">
      <c r="A54" s="2"/>
      <c r="B54" s="2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55000000000000004">
      <c r="A55" s="2"/>
      <c r="B55" s="2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55000000000000004">
      <c r="A56" s="2"/>
      <c r="B56" s="2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55000000000000004">
      <c r="A57" s="2"/>
      <c r="B57" s="2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55000000000000004">
      <c r="A58" s="2"/>
      <c r="B58" s="2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55000000000000004">
      <c r="A59" s="2"/>
      <c r="B59" s="2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55000000000000004">
      <c r="A60" s="2"/>
      <c r="B60" s="2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55000000000000004">
      <c r="A61" s="2"/>
      <c r="B61" s="2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55000000000000004">
      <c r="A62" s="2"/>
      <c r="B62" s="2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55000000000000004">
      <c r="A63" s="2"/>
      <c r="B63" s="2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55000000000000004">
      <c r="A64" s="2"/>
      <c r="B64" s="2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x14ac:dyDescent="0.55000000000000004">
      <c r="A65" s="2"/>
      <c r="B65" s="2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x14ac:dyDescent="0.55000000000000004">
      <c r="A66" s="2"/>
      <c r="B66" s="2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x14ac:dyDescent="0.55000000000000004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x14ac:dyDescent="0.55000000000000004">
      <c r="A68" s="2"/>
      <c r="B68" s="2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x14ac:dyDescent="0.55000000000000004">
      <c r="A69" s="2"/>
      <c r="B69" s="2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x14ac:dyDescent="0.55000000000000004">
      <c r="A70" s="2"/>
      <c r="B70" s="2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x14ac:dyDescent="0.55000000000000004">
      <c r="A71" s="2"/>
      <c r="B71" s="2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x14ac:dyDescent="0.55000000000000004">
      <c r="A72" s="2"/>
      <c r="B72" s="2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x14ac:dyDescent="0.55000000000000004">
      <c r="A73" s="2"/>
      <c r="B73" s="2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x14ac:dyDescent="0.55000000000000004">
      <c r="A74" s="2"/>
      <c r="B74" s="2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x14ac:dyDescent="0.55000000000000004">
      <c r="A75" s="2"/>
      <c r="B75" s="2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x14ac:dyDescent="0.55000000000000004">
      <c r="A76" s="2"/>
      <c r="B76" s="2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x14ac:dyDescent="0.55000000000000004">
      <c r="A77" s="2"/>
      <c r="B77" s="2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x14ac:dyDescent="0.55000000000000004">
      <c r="A78" s="2"/>
      <c r="B78" s="2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x14ac:dyDescent="0.55000000000000004">
      <c r="A79" s="2"/>
      <c r="B79" s="2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x14ac:dyDescent="0.55000000000000004">
      <c r="A80" s="2"/>
      <c r="B80" s="2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x14ac:dyDescent="0.55000000000000004">
      <c r="A81" s="2"/>
      <c r="B81" s="2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x14ac:dyDescent="0.55000000000000004">
      <c r="A82" s="2"/>
      <c r="B82" s="2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x14ac:dyDescent="0.55000000000000004">
      <c r="A83" s="2"/>
      <c r="B83" s="2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x14ac:dyDescent="0.55000000000000004">
      <c r="A84" s="2"/>
      <c r="B84" s="2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x14ac:dyDescent="0.55000000000000004">
      <c r="A85" s="2"/>
      <c r="B85" s="2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x14ac:dyDescent="0.55000000000000004">
      <c r="A86" s="2"/>
      <c r="B86" s="2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x14ac:dyDescent="0.55000000000000004">
      <c r="A87" s="2"/>
      <c r="B87" s="2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x14ac:dyDescent="0.55000000000000004">
      <c r="A88" s="2"/>
      <c r="B88" s="2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x14ac:dyDescent="0.55000000000000004">
      <c r="A89" s="2"/>
      <c r="B89" s="2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x14ac:dyDescent="0.55000000000000004">
      <c r="A90" s="2"/>
      <c r="B90" s="2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x14ac:dyDescent="0.55000000000000004">
      <c r="A91" s="2"/>
      <c r="B91" s="2"/>
      <c r="C91" s="3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x14ac:dyDescent="0.55000000000000004">
      <c r="A92" s="2"/>
      <c r="B92" s="2"/>
      <c r="C92" s="3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x14ac:dyDescent="0.55000000000000004">
      <c r="A93" s="2"/>
      <c r="B93" s="2"/>
      <c r="C93" s="3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x14ac:dyDescent="0.55000000000000004">
      <c r="A94" s="2"/>
      <c r="B94" s="2"/>
      <c r="C94" s="3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x14ac:dyDescent="0.55000000000000004">
      <c r="A95" s="2"/>
      <c r="B95" s="2"/>
      <c r="C95" s="3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x14ac:dyDescent="0.55000000000000004">
      <c r="A96" s="2"/>
      <c r="B96" s="2"/>
      <c r="C96" s="3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x14ac:dyDescent="0.55000000000000004">
      <c r="A97" s="2"/>
      <c r="B97" s="2"/>
      <c r="C97" s="3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x14ac:dyDescent="0.55000000000000004">
      <c r="A98" s="2"/>
      <c r="B98" s="2"/>
      <c r="C98" s="3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x14ac:dyDescent="0.55000000000000004">
      <c r="A99" s="2"/>
      <c r="B99" s="2"/>
      <c r="C99" s="3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x14ac:dyDescent="0.5500000000000000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x14ac:dyDescent="0.55000000000000004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55000000000000004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55000000000000004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55000000000000004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55000000000000004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55000000000000004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55000000000000004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55000000000000004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55000000000000004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55000000000000004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55000000000000004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55000000000000004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55000000000000004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55000000000000004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55000000000000004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55000000000000004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55000000000000004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55000000000000004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55000000000000004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55000000000000004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55000000000000004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55000000000000004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55000000000000004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55000000000000004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55000000000000004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55000000000000004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55000000000000004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55000000000000004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55000000000000004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5500000000000000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55000000000000004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5500000000000000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55000000000000004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55000000000000004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55000000000000004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55000000000000004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55000000000000004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55000000000000004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55000000000000004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55000000000000004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55000000000000004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55000000000000004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55000000000000004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55000000000000004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55000000000000004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55000000000000004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55000000000000004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55000000000000004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55000000000000004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55000000000000004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55000000000000004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55000000000000004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55000000000000004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55000000000000004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55000000000000004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55000000000000004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55000000000000004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55000000000000004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55000000000000004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55000000000000004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55000000000000004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5500000000000000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55000000000000004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5500000000000000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55000000000000004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55000000000000004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55000000000000004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55000000000000004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55000000000000004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55000000000000004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55000000000000004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55000000000000004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55000000000000004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55000000000000004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55000000000000004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55000000000000004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x14ac:dyDescent="0.55000000000000004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x14ac:dyDescent="0.55000000000000004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x14ac:dyDescent="0.55000000000000004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x14ac:dyDescent="0.55000000000000004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x14ac:dyDescent="0.55000000000000004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x14ac:dyDescent="0.55000000000000004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x14ac:dyDescent="0.55000000000000004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x14ac:dyDescent="0.55000000000000004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x14ac:dyDescent="0.55000000000000004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x14ac:dyDescent="0.55000000000000004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x14ac:dyDescent="0.55000000000000004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x14ac:dyDescent="0.55000000000000004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x14ac:dyDescent="0.55000000000000004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x14ac:dyDescent="0.55000000000000004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x14ac:dyDescent="0.55000000000000004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x14ac:dyDescent="0.55000000000000004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x14ac:dyDescent="0.55000000000000004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x14ac:dyDescent="0.55000000000000004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x14ac:dyDescent="0.55000000000000004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x14ac:dyDescent="0.55000000000000004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x14ac:dyDescent="0.55000000000000004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x14ac:dyDescent="0.55000000000000004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x14ac:dyDescent="0.55000000000000004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x14ac:dyDescent="0.55000000000000004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x14ac:dyDescent="0.55000000000000004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x14ac:dyDescent="0.55000000000000004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x14ac:dyDescent="0.55000000000000004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x14ac:dyDescent="0.55000000000000004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x14ac:dyDescent="0.55000000000000004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x14ac:dyDescent="0.55000000000000004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x14ac:dyDescent="0.55000000000000004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x14ac:dyDescent="0.55000000000000004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x14ac:dyDescent="0.55000000000000004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x14ac:dyDescent="0.55000000000000004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x14ac:dyDescent="0.55000000000000004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x14ac:dyDescent="0.55000000000000004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x14ac:dyDescent="0.55000000000000004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x14ac:dyDescent="0.55000000000000004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x14ac:dyDescent="0.55000000000000004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x14ac:dyDescent="0.55000000000000004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x14ac:dyDescent="0.55000000000000004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x14ac:dyDescent="0.55000000000000004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x14ac:dyDescent="0.55000000000000004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x14ac:dyDescent="0.55000000000000004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x14ac:dyDescent="0.55000000000000004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x14ac:dyDescent="0.55000000000000004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x14ac:dyDescent="0.55000000000000004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x14ac:dyDescent="0.55000000000000004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x14ac:dyDescent="0.55000000000000004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x14ac:dyDescent="0.55000000000000004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x14ac:dyDescent="0.55000000000000004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x14ac:dyDescent="0.55000000000000004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x14ac:dyDescent="0.55000000000000004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x14ac:dyDescent="0.55000000000000004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x14ac:dyDescent="0.55000000000000004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x14ac:dyDescent="0.55000000000000004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x14ac:dyDescent="0.55000000000000004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x14ac:dyDescent="0.55000000000000004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x14ac:dyDescent="0.55000000000000004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x14ac:dyDescent="0.55000000000000004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x14ac:dyDescent="0.55000000000000004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x14ac:dyDescent="0.55000000000000004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x14ac:dyDescent="0.55000000000000004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x14ac:dyDescent="0.55000000000000004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x14ac:dyDescent="0.55000000000000004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x14ac:dyDescent="0.55000000000000004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x14ac:dyDescent="0.55000000000000004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x14ac:dyDescent="0.55000000000000004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x14ac:dyDescent="0.55000000000000004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x14ac:dyDescent="0.55000000000000004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x14ac:dyDescent="0.55000000000000004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x14ac:dyDescent="0.55000000000000004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x14ac:dyDescent="0.55000000000000004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x14ac:dyDescent="0.55000000000000004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x14ac:dyDescent="0.55000000000000004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x14ac:dyDescent="0.55000000000000004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x14ac:dyDescent="0.55000000000000004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x14ac:dyDescent="0.55000000000000004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x14ac:dyDescent="0.55000000000000004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x14ac:dyDescent="0.55000000000000004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x14ac:dyDescent="0.55000000000000004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x14ac:dyDescent="0.55000000000000004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x14ac:dyDescent="0.55000000000000004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x14ac:dyDescent="0.55000000000000004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x14ac:dyDescent="0.55000000000000004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x14ac:dyDescent="0.55000000000000004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x14ac:dyDescent="0.55000000000000004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x14ac:dyDescent="0.55000000000000004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x14ac:dyDescent="0.55000000000000004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x14ac:dyDescent="0.55000000000000004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x14ac:dyDescent="0.55000000000000004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x14ac:dyDescent="0.55000000000000004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x14ac:dyDescent="0.55000000000000004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x14ac:dyDescent="0.55000000000000004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x14ac:dyDescent="0.55000000000000004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x14ac:dyDescent="0.55000000000000004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x14ac:dyDescent="0.55000000000000004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x14ac:dyDescent="0.55000000000000004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x14ac:dyDescent="0.55000000000000004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x14ac:dyDescent="0.55000000000000004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x14ac:dyDescent="0.55000000000000004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x14ac:dyDescent="0.55000000000000004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x14ac:dyDescent="0.55000000000000004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x14ac:dyDescent="0.55000000000000004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x14ac:dyDescent="0.55000000000000004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x14ac:dyDescent="0.55000000000000004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x14ac:dyDescent="0.55000000000000004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x14ac:dyDescent="0.55000000000000004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x14ac:dyDescent="0.55000000000000004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x14ac:dyDescent="0.55000000000000004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x14ac:dyDescent="0.55000000000000004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x14ac:dyDescent="0.55000000000000004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x14ac:dyDescent="0.55000000000000004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x14ac:dyDescent="0.55000000000000004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x14ac:dyDescent="0.55000000000000004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x14ac:dyDescent="0.55000000000000004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x14ac:dyDescent="0.55000000000000004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x14ac:dyDescent="0.55000000000000004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x14ac:dyDescent="0.55000000000000004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x14ac:dyDescent="0.55000000000000004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x14ac:dyDescent="0.55000000000000004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x14ac:dyDescent="0.55000000000000004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x14ac:dyDescent="0.55000000000000004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x14ac:dyDescent="0.55000000000000004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x14ac:dyDescent="0.55000000000000004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x14ac:dyDescent="0.55000000000000004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x14ac:dyDescent="0.55000000000000004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x14ac:dyDescent="0.55000000000000004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x14ac:dyDescent="0.55000000000000004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x14ac:dyDescent="0.55000000000000004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x14ac:dyDescent="0.55000000000000004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x14ac:dyDescent="0.55000000000000004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x14ac:dyDescent="0.55000000000000004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x14ac:dyDescent="0.55000000000000004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x14ac:dyDescent="0.55000000000000004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x14ac:dyDescent="0.55000000000000004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x14ac:dyDescent="0.55000000000000004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x14ac:dyDescent="0.55000000000000004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x14ac:dyDescent="0.55000000000000004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x14ac:dyDescent="0.55000000000000004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x14ac:dyDescent="0.55000000000000004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x14ac:dyDescent="0.55000000000000004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x14ac:dyDescent="0.55000000000000004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x14ac:dyDescent="0.55000000000000004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x14ac:dyDescent="0.55000000000000004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x14ac:dyDescent="0.55000000000000004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x14ac:dyDescent="0.55000000000000004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x14ac:dyDescent="0.55000000000000004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x14ac:dyDescent="0.55000000000000004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x14ac:dyDescent="0.55000000000000004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x14ac:dyDescent="0.55000000000000004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x14ac:dyDescent="0.55000000000000004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x14ac:dyDescent="0.55000000000000004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x14ac:dyDescent="0.55000000000000004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x14ac:dyDescent="0.55000000000000004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x14ac:dyDescent="0.55000000000000004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x14ac:dyDescent="0.55000000000000004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x14ac:dyDescent="0.55000000000000004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x14ac:dyDescent="0.55000000000000004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x14ac:dyDescent="0.55000000000000004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x14ac:dyDescent="0.55000000000000004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x14ac:dyDescent="0.55000000000000004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x14ac:dyDescent="0.55000000000000004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x14ac:dyDescent="0.55000000000000004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x14ac:dyDescent="0.55000000000000004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x14ac:dyDescent="0.55000000000000004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x14ac:dyDescent="0.55000000000000004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x14ac:dyDescent="0.55000000000000004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x14ac:dyDescent="0.55000000000000004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x14ac:dyDescent="0.55000000000000004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x14ac:dyDescent="0.55000000000000004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x14ac:dyDescent="0.55000000000000004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x14ac:dyDescent="0.55000000000000004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x14ac:dyDescent="0.55000000000000004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x14ac:dyDescent="0.55000000000000004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x14ac:dyDescent="0.55000000000000004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x14ac:dyDescent="0.55000000000000004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x14ac:dyDescent="0.55000000000000004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x14ac:dyDescent="0.55000000000000004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x14ac:dyDescent="0.55000000000000004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x14ac:dyDescent="0.55000000000000004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x14ac:dyDescent="0.55000000000000004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x14ac:dyDescent="0.55000000000000004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x14ac:dyDescent="0.55000000000000004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x14ac:dyDescent="0.55000000000000004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x14ac:dyDescent="0.55000000000000004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x14ac:dyDescent="0.55000000000000004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x14ac:dyDescent="0.55000000000000004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x14ac:dyDescent="0.55000000000000004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x14ac:dyDescent="0.55000000000000004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x14ac:dyDescent="0.55000000000000004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x14ac:dyDescent="0.55000000000000004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x14ac:dyDescent="0.55000000000000004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x14ac:dyDescent="0.55000000000000004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x14ac:dyDescent="0.55000000000000004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x14ac:dyDescent="0.55000000000000004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x14ac:dyDescent="0.55000000000000004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x14ac:dyDescent="0.55000000000000004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x14ac:dyDescent="0.55000000000000004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x14ac:dyDescent="0.55000000000000004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x14ac:dyDescent="0.55000000000000004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x14ac:dyDescent="0.55000000000000004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x14ac:dyDescent="0.55000000000000004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x14ac:dyDescent="0.55000000000000004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x14ac:dyDescent="0.55000000000000004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x14ac:dyDescent="0.55000000000000004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x14ac:dyDescent="0.55000000000000004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x14ac:dyDescent="0.55000000000000004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x14ac:dyDescent="0.55000000000000004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x14ac:dyDescent="0.55000000000000004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x14ac:dyDescent="0.55000000000000004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x14ac:dyDescent="0.55000000000000004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x14ac:dyDescent="0.55000000000000004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x14ac:dyDescent="0.55000000000000004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x14ac:dyDescent="0.55000000000000004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x14ac:dyDescent="0.55000000000000004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x14ac:dyDescent="0.55000000000000004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x14ac:dyDescent="0.55000000000000004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x14ac:dyDescent="0.55000000000000004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x14ac:dyDescent="0.55000000000000004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x14ac:dyDescent="0.55000000000000004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x14ac:dyDescent="0.55000000000000004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x14ac:dyDescent="0.55000000000000004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x14ac:dyDescent="0.55000000000000004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x14ac:dyDescent="0.55000000000000004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x14ac:dyDescent="0.55000000000000004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x14ac:dyDescent="0.55000000000000004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x14ac:dyDescent="0.55000000000000004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x14ac:dyDescent="0.55000000000000004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x14ac:dyDescent="0.55000000000000004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x14ac:dyDescent="0.55000000000000004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x14ac:dyDescent="0.55000000000000004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x14ac:dyDescent="0.55000000000000004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x14ac:dyDescent="0.55000000000000004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x14ac:dyDescent="0.55000000000000004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x14ac:dyDescent="0.55000000000000004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x14ac:dyDescent="0.55000000000000004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x14ac:dyDescent="0.55000000000000004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x14ac:dyDescent="0.55000000000000004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x14ac:dyDescent="0.55000000000000004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x14ac:dyDescent="0.55000000000000004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x14ac:dyDescent="0.55000000000000004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x14ac:dyDescent="0.55000000000000004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x14ac:dyDescent="0.55000000000000004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x14ac:dyDescent="0.55000000000000004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x14ac:dyDescent="0.55000000000000004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x14ac:dyDescent="0.55000000000000004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x14ac:dyDescent="0.55000000000000004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x14ac:dyDescent="0.55000000000000004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x14ac:dyDescent="0.55000000000000004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x14ac:dyDescent="0.55000000000000004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x14ac:dyDescent="0.55000000000000004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x14ac:dyDescent="0.55000000000000004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x14ac:dyDescent="0.55000000000000004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x14ac:dyDescent="0.55000000000000004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x14ac:dyDescent="0.55000000000000004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x14ac:dyDescent="0.55000000000000004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x14ac:dyDescent="0.55000000000000004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x14ac:dyDescent="0.55000000000000004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x14ac:dyDescent="0.55000000000000004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x14ac:dyDescent="0.55000000000000004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x14ac:dyDescent="0.55000000000000004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x14ac:dyDescent="0.55000000000000004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x14ac:dyDescent="0.55000000000000004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x14ac:dyDescent="0.55000000000000004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x14ac:dyDescent="0.55000000000000004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x14ac:dyDescent="0.55000000000000004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x14ac:dyDescent="0.55000000000000004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x14ac:dyDescent="0.55000000000000004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x14ac:dyDescent="0.55000000000000004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x14ac:dyDescent="0.55000000000000004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x14ac:dyDescent="0.55000000000000004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x14ac:dyDescent="0.55000000000000004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x14ac:dyDescent="0.55000000000000004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x14ac:dyDescent="0.55000000000000004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x14ac:dyDescent="0.55000000000000004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x14ac:dyDescent="0.55000000000000004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x14ac:dyDescent="0.55000000000000004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x14ac:dyDescent="0.55000000000000004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x14ac:dyDescent="0.55000000000000004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x14ac:dyDescent="0.55000000000000004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x14ac:dyDescent="0.55000000000000004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x14ac:dyDescent="0.55000000000000004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x14ac:dyDescent="0.55000000000000004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x14ac:dyDescent="0.55000000000000004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x14ac:dyDescent="0.55000000000000004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x14ac:dyDescent="0.55000000000000004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x14ac:dyDescent="0.55000000000000004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x14ac:dyDescent="0.55000000000000004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x14ac:dyDescent="0.55000000000000004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x14ac:dyDescent="0.55000000000000004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x14ac:dyDescent="0.55000000000000004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x14ac:dyDescent="0.55000000000000004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x14ac:dyDescent="0.55000000000000004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x14ac:dyDescent="0.55000000000000004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x14ac:dyDescent="0.55000000000000004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x14ac:dyDescent="0.55000000000000004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x14ac:dyDescent="0.55000000000000004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x14ac:dyDescent="0.55000000000000004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x14ac:dyDescent="0.55000000000000004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x14ac:dyDescent="0.55000000000000004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x14ac:dyDescent="0.55000000000000004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x14ac:dyDescent="0.55000000000000004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x14ac:dyDescent="0.55000000000000004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x14ac:dyDescent="0.55000000000000004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x14ac:dyDescent="0.55000000000000004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x14ac:dyDescent="0.55000000000000004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x14ac:dyDescent="0.55000000000000004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x14ac:dyDescent="0.55000000000000004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x14ac:dyDescent="0.55000000000000004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x14ac:dyDescent="0.55000000000000004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x14ac:dyDescent="0.55000000000000004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x14ac:dyDescent="0.55000000000000004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x14ac:dyDescent="0.55000000000000004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x14ac:dyDescent="0.55000000000000004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x14ac:dyDescent="0.55000000000000004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x14ac:dyDescent="0.55000000000000004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x14ac:dyDescent="0.55000000000000004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x14ac:dyDescent="0.55000000000000004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x14ac:dyDescent="0.55000000000000004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x14ac:dyDescent="0.55000000000000004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x14ac:dyDescent="0.55000000000000004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x14ac:dyDescent="0.55000000000000004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x14ac:dyDescent="0.55000000000000004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x14ac:dyDescent="0.55000000000000004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x14ac:dyDescent="0.55000000000000004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x14ac:dyDescent="0.55000000000000004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x14ac:dyDescent="0.55000000000000004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x14ac:dyDescent="0.55000000000000004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x14ac:dyDescent="0.55000000000000004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x14ac:dyDescent="0.55000000000000004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x14ac:dyDescent="0.55000000000000004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x14ac:dyDescent="0.55000000000000004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x14ac:dyDescent="0.55000000000000004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x14ac:dyDescent="0.55000000000000004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x14ac:dyDescent="0.55000000000000004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x14ac:dyDescent="0.55000000000000004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x14ac:dyDescent="0.55000000000000004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x14ac:dyDescent="0.55000000000000004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x14ac:dyDescent="0.55000000000000004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x14ac:dyDescent="0.55000000000000004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x14ac:dyDescent="0.55000000000000004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x14ac:dyDescent="0.55000000000000004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x14ac:dyDescent="0.55000000000000004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x14ac:dyDescent="0.55000000000000004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x14ac:dyDescent="0.55000000000000004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x14ac:dyDescent="0.55000000000000004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x14ac:dyDescent="0.55000000000000004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x14ac:dyDescent="0.55000000000000004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x14ac:dyDescent="0.55000000000000004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x14ac:dyDescent="0.55000000000000004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x14ac:dyDescent="0.55000000000000004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x14ac:dyDescent="0.55000000000000004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x14ac:dyDescent="0.55000000000000004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x14ac:dyDescent="0.55000000000000004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x14ac:dyDescent="0.55000000000000004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x14ac:dyDescent="0.55000000000000004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x14ac:dyDescent="0.55000000000000004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x14ac:dyDescent="0.55000000000000004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x14ac:dyDescent="0.55000000000000004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x14ac:dyDescent="0.55000000000000004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x14ac:dyDescent="0.55000000000000004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x14ac:dyDescent="0.55000000000000004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x14ac:dyDescent="0.55000000000000004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x14ac:dyDescent="0.55000000000000004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x14ac:dyDescent="0.55000000000000004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x14ac:dyDescent="0.55000000000000004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x14ac:dyDescent="0.55000000000000004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x14ac:dyDescent="0.55000000000000004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x14ac:dyDescent="0.55000000000000004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x14ac:dyDescent="0.55000000000000004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x14ac:dyDescent="0.55000000000000004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x14ac:dyDescent="0.55000000000000004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x14ac:dyDescent="0.55000000000000004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x14ac:dyDescent="0.55000000000000004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x14ac:dyDescent="0.55000000000000004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x14ac:dyDescent="0.55000000000000004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x14ac:dyDescent="0.55000000000000004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x14ac:dyDescent="0.55000000000000004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x14ac:dyDescent="0.55000000000000004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x14ac:dyDescent="0.55000000000000004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x14ac:dyDescent="0.55000000000000004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x14ac:dyDescent="0.55000000000000004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x14ac:dyDescent="0.55000000000000004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x14ac:dyDescent="0.55000000000000004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x14ac:dyDescent="0.55000000000000004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x14ac:dyDescent="0.55000000000000004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x14ac:dyDescent="0.55000000000000004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x14ac:dyDescent="0.55000000000000004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x14ac:dyDescent="0.55000000000000004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x14ac:dyDescent="0.55000000000000004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x14ac:dyDescent="0.55000000000000004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x14ac:dyDescent="0.55000000000000004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x14ac:dyDescent="0.55000000000000004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x14ac:dyDescent="0.55000000000000004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x14ac:dyDescent="0.55000000000000004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x14ac:dyDescent="0.55000000000000004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x14ac:dyDescent="0.55000000000000004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x14ac:dyDescent="0.55000000000000004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x14ac:dyDescent="0.55000000000000004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x14ac:dyDescent="0.55000000000000004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x14ac:dyDescent="0.55000000000000004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x14ac:dyDescent="0.55000000000000004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x14ac:dyDescent="0.55000000000000004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x14ac:dyDescent="0.55000000000000004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x14ac:dyDescent="0.55000000000000004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x14ac:dyDescent="0.55000000000000004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x14ac:dyDescent="0.55000000000000004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x14ac:dyDescent="0.55000000000000004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x14ac:dyDescent="0.55000000000000004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x14ac:dyDescent="0.55000000000000004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x14ac:dyDescent="0.55000000000000004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x14ac:dyDescent="0.55000000000000004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x14ac:dyDescent="0.55000000000000004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x14ac:dyDescent="0.55000000000000004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x14ac:dyDescent="0.55000000000000004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x14ac:dyDescent="0.55000000000000004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x14ac:dyDescent="0.55000000000000004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x14ac:dyDescent="0.55000000000000004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x14ac:dyDescent="0.55000000000000004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x14ac:dyDescent="0.55000000000000004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x14ac:dyDescent="0.55000000000000004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x14ac:dyDescent="0.55000000000000004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x14ac:dyDescent="0.55000000000000004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x14ac:dyDescent="0.55000000000000004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x14ac:dyDescent="0.55000000000000004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x14ac:dyDescent="0.55000000000000004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x14ac:dyDescent="0.55000000000000004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x14ac:dyDescent="0.55000000000000004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x14ac:dyDescent="0.55000000000000004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x14ac:dyDescent="0.55000000000000004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x14ac:dyDescent="0.55000000000000004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x14ac:dyDescent="0.55000000000000004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x14ac:dyDescent="0.55000000000000004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x14ac:dyDescent="0.55000000000000004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x14ac:dyDescent="0.55000000000000004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x14ac:dyDescent="0.55000000000000004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x14ac:dyDescent="0.55000000000000004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x14ac:dyDescent="0.55000000000000004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x14ac:dyDescent="0.55000000000000004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x14ac:dyDescent="0.55000000000000004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x14ac:dyDescent="0.55000000000000004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x14ac:dyDescent="0.55000000000000004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x14ac:dyDescent="0.55000000000000004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x14ac:dyDescent="0.55000000000000004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x14ac:dyDescent="0.55000000000000004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x14ac:dyDescent="0.55000000000000004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x14ac:dyDescent="0.55000000000000004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x14ac:dyDescent="0.55000000000000004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x14ac:dyDescent="0.55000000000000004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x14ac:dyDescent="0.55000000000000004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x14ac:dyDescent="0.55000000000000004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x14ac:dyDescent="0.55000000000000004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x14ac:dyDescent="0.55000000000000004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x14ac:dyDescent="0.55000000000000004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x14ac:dyDescent="0.55000000000000004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x14ac:dyDescent="0.55000000000000004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x14ac:dyDescent="0.55000000000000004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x14ac:dyDescent="0.55000000000000004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x14ac:dyDescent="0.55000000000000004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x14ac:dyDescent="0.55000000000000004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x14ac:dyDescent="0.55000000000000004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x14ac:dyDescent="0.55000000000000004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x14ac:dyDescent="0.55000000000000004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x14ac:dyDescent="0.55000000000000004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x14ac:dyDescent="0.55000000000000004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x14ac:dyDescent="0.55000000000000004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x14ac:dyDescent="0.55000000000000004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x14ac:dyDescent="0.55000000000000004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x14ac:dyDescent="0.55000000000000004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x14ac:dyDescent="0.55000000000000004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x14ac:dyDescent="0.55000000000000004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x14ac:dyDescent="0.55000000000000004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x14ac:dyDescent="0.55000000000000004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x14ac:dyDescent="0.55000000000000004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x14ac:dyDescent="0.55000000000000004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x14ac:dyDescent="0.55000000000000004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x14ac:dyDescent="0.55000000000000004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x14ac:dyDescent="0.55000000000000004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x14ac:dyDescent="0.55000000000000004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x14ac:dyDescent="0.55000000000000004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x14ac:dyDescent="0.55000000000000004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x14ac:dyDescent="0.55000000000000004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x14ac:dyDescent="0.55000000000000004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x14ac:dyDescent="0.55000000000000004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x14ac:dyDescent="0.55000000000000004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x14ac:dyDescent="0.55000000000000004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x14ac:dyDescent="0.55000000000000004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x14ac:dyDescent="0.55000000000000004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x14ac:dyDescent="0.55000000000000004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x14ac:dyDescent="0.55000000000000004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x14ac:dyDescent="0.55000000000000004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x14ac:dyDescent="0.55000000000000004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x14ac:dyDescent="0.55000000000000004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x14ac:dyDescent="0.55000000000000004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x14ac:dyDescent="0.55000000000000004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x14ac:dyDescent="0.55000000000000004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x14ac:dyDescent="0.55000000000000004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x14ac:dyDescent="0.55000000000000004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x14ac:dyDescent="0.55000000000000004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x14ac:dyDescent="0.55000000000000004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x14ac:dyDescent="0.55000000000000004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x14ac:dyDescent="0.55000000000000004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x14ac:dyDescent="0.55000000000000004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x14ac:dyDescent="0.55000000000000004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x14ac:dyDescent="0.55000000000000004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x14ac:dyDescent="0.55000000000000004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x14ac:dyDescent="0.55000000000000004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x14ac:dyDescent="0.55000000000000004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x14ac:dyDescent="0.55000000000000004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x14ac:dyDescent="0.55000000000000004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x14ac:dyDescent="0.55000000000000004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x14ac:dyDescent="0.55000000000000004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x14ac:dyDescent="0.55000000000000004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x14ac:dyDescent="0.55000000000000004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x14ac:dyDescent="0.55000000000000004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x14ac:dyDescent="0.55000000000000004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x14ac:dyDescent="0.55000000000000004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x14ac:dyDescent="0.55000000000000004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x14ac:dyDescent="0.55000000000000004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x14ac:dyDescent="0.55000000000000004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x14ac:dyDescent="0.55000000000000004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x14ac:dyDescent="0.55000000000000004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x14ac:dyDescent="0.55000000000000004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x14ac:dyDescent="0.55000000000000004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x14ac:dyDescent="0.55000000000000004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x14ac:dyDescent="0.55000000000000004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x14ac:dyDescent="0.55000000000000004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x14ac:dyDescent="0.55000000000000004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x14ac:dyDescent="0.55000000000000004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x14ac:dyDescent="0.55000000000000004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x14ac:dyDescent="0.55000000000000004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x14ac:dyDescent="0.55000000000000004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x14ac:dyDescent="0.55000000000000004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x14ac:dyDescent="0.55000000000000004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x14ac:dyDescent="0.55000000000000004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x14ac:dyDescent="0.55000000000000004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x14ac:dyDescent="0.55000000000000004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x14ac:dyDescent="0.55000000000000004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x14ac:dyDescent="0.55000000000000004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x14ac:dyDescent="0.55000000000000004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x14ac:dyDescent="0.55000000000000004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x14ac:dyDescent="0.55000000000000004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x14ac:dyDescent="0.55000000000000004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x14ac:dyDescent="0.55000000000000004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x14ac:dyDescent="0.55000000000000004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x14ac:dyDescent="0.55000000000000004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x14ac:dyDescent="0.55000000000000004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x14ac:dyDescent="0.55000000000000004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x14ac:dyDescent="0.55000000000000004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x14ac:dyDescent="0.55000000000000004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x14ac:dyDescent="0.55000000000000004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x14ac:dyDescent="0.55000000000000004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x14ac:dyDescent="0.55000000000000004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x14ac:dyDescent="0.55000000000000004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x14ac:dyDescent="0.55000000000000004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x14ac:dyDescent="0.55000000000000004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x14ac:dyDescent="0.55000000000000004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x14ac:dyDescent="0.55000000000000004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x14ac:dyDescent="0.55000000000000004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x14ac:dyDescent="0.55000000000000004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x14ac:dyDescent="0.55000000000000004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x14ac:dyDescent="0.55000000000000004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x14ac:dyDescent="0.55000000000000004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x14ac:dyDescent="0.55000000000000004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x14ac:dyDescent="0.55000000000000004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x14ac:dyDescent="0.55000000000000004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x14ac:dyDescent="0.55000000000000004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x14ac:dyDescent="0.55000000000000004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x14ac:dyDescent="0.55000000000000004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x14ac:dyDescent="0.55000000000000004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x14ac:dyDescent="0.55000000000000004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x14ac:dyDescent="0.55000000000000004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x14ac:dyDescent="0.55000000000000004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x14ac:dyDescent="0.55000000000000004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x14ac:dyDescent="0.55000000000000004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x14ac:dyDescent="0.55000000000000004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x14ac:dyDescent="0.55000000000000004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x14ac:dyDescent="0.55000000000000004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x14ac:dyDescent="0.55000000000000004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x14ac:dyDescent="0.55000000000000004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x14ac:dyDescent="0.55000000000000004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x14ac:dyDescent="0.55000000000000004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x14ac:dyDescent="0.55000000000000004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x14ac:dyDescent="0.55000000000000004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x14ac:dyDescent="0.55000000000000004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x14ac:dyDescent="0.55000000000000004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x14ac:dyDescent="0.55000000000000004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x14ac:dyDescent="0.55000000000000004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x14ac:dyDescent="0.55000000000000004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x14ac:dyDescent="0.55000000000000004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x14ac:dyDescent="0.55000000000000004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x14ac:dyDescent="0.55000000000000004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x14ac:dyDescent="0.55000000000000004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x14ac:dyDescent="0.55000000000000004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x14ac:dyDescent="0.55000000000000004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x14ac:dyDescent="0.55000000000000004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x14ac:dyDescent="0.55000000000000004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x14ac:dyDescent="0.55000000000000004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x14ac:dyDescent="0.55000000000000004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x14ac:dyDescent="0.55000000000000004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x14ac:dyDescent="0.55000000000000004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x14ac:dyDescent="0.55000000000000004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x14ac:dyDescent="0.55000000000000004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x14ac:dyDescent="0.55000000000000004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x14ac:dyDescent="0.55000000000000004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x14ac:dyDescent="0.55000000000000004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x14ac:dyDescent="0.55000000000000004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x14ac:dyDescent="0.55000000000000004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x14ac:dyDescent="0.55000000000000004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x14ac:dyDescent="0.55000000000000004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x14ac:dyDescent="0.55000000000000004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x14ac:dyDescent="0.55000000000000004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x14ac:dyDescent="0.55000000000000004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x14ac:dyDescent="0.55000000000000004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x14ac:dyDescent="0.55000000000000004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x14ac:dyDescent="0.55000000000000004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x14ac:dyDescent="0.55000000000000004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x14ac:dyDescent="0.55000000000000004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x14ac:dyDescent="0.55000000000000004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x14ac:dyDescent="0.55000000000000004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x14ac:dyDescent="0.55000000000000004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x14ac:dyDescent="0.55000000000000004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x14ac:dyDescent="0.55000000000000004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x14ac:dyDescent="0.55000000000000004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x14ac:dyDescent="0.55000000000000004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x14ac:dyDescent="0.55000000000000004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x14ac:dyDescent="0.55000000000000004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x14ac:dyDescent="0.55000000000000004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x14ac:dyDescent="0.55000000000000004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x14ac:dyDescent="0.55000000000000004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x14ac:dyDescent="0.55000000000000004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x14ac:dyDescent="0.55000000000000004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x14ac:dyDescent="0.55000000000000004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x14ac:dyDescent="0.55000000000000004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x14ac:dyDescent="0.55000000000000004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x14ac:dyDescent="0.55000000000000004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x14ac:dyDescent="0.55000000000000004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x14ac:dyDescent="0.55000000000000004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x14ac:dyDescent="0.55000000000000004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x14ac:dyDescent="0.55000000000000004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x14ac:dyDescent="0.55000000000000004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x14ac:dyDescent="0.55000000000000004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x14ac:dyDescent="0.55000000000000004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x14ac:dyDescent="0.55000000000000004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x14ac:dyDescent="0.55000000000000004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x14ac:dyDescent="0.55000000000000004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x14ac:dyDescent="0.55000000000000004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x14ac:dyDescent="0.55000000000000004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x14ac:dyDescent="0.55000000000000004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x14ac:dyDescent="0.55000000000000004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x14ac:dyDescent="0.55000000000000004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x14ac:dyDescent="0.55000000000000004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x14ac:dyDescent="0.55000000000000004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x14ac:dyDescent="0.55000000000000004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x14ac:dyDescent="0.55000000000000004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x14ac:dyDescent="0.55000000000000004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x14ac:dyDescent="0.55000000000000004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x14ac:dyDescent="0.55000000000000004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x14ac:dyDescent="0.55000000000000004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x14ac:dyDescent="0.55000000000000004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x14ac:dyDescent="0.55000000000000004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x14ac:dyDescent="0.55000000000000004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x14ac:dyDescent="0.55000000000000004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x14ac:dyDescent="0.55000000000000004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x14ac:dyDescent="0.55000000000000004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x14ac:dyDescent="0.55000000000000004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x14ac:dyDescent="0.55000000000000004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x14ac:dyDescent="0.55000000000000004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x14ac:dyDescent="0.55000000000000004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x14ac:dyDescent="0.55000000000000004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x14ac:dyDescent="0.55000000000000004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x14ac:dyDescent="0.55000000000000004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x14ac:dyDescent="0.55000000000000004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x14ac:dyDescent="0.55000000000000004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x14ac:dyDescent="0.55000000000000004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x14ac:dyDescent="0.55000000000000004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x14ac:dyDescent="0.55000000000000004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x14ac:dyDescent="0.55000000000000004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x14ac:dyDescent="0.55000000000000004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x14ac:dyDescent="0.55000000000000004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x14ac:dyDescent="0.55000000000000004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x14ac:dyDescent="0.55000000000000004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x14ac:dyDescent="0.55000000000000004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x14ac:dyDescent="0.55000000000000004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x14ac:dyDescent="0.55000000000000004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x14ac:dyDescent="0.55000000000000004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x14ac:dyDescent="0.55000000000000004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x14ac:dyDescent="0.55000000000000004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x14ac:dyDescent="0.55000000000000004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x14ac:dyDescent="0.55000000000000004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x14ac:dyDescent="0.55000000000000004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x14ac:dyDescent="0.55000000000000004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x14ac:dyDescent="0.55000000000000004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x14ac:dyDescent="0.55000000000000004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x14ac:dyDescent="0.55000000000000004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x14ac:dyDescent="0.55000000000000004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x14ac:dyDescent="0.55000000000000004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x14ac:dyDescent="0.55000000000000004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x14ac:dyDescent="0.55000000000000004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x14ac:dyDescent="0.55000000000000004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x14ac:dyDescent="0.55000000000000004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x14ac:dyDescent="0.55000000000000004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x14ac:dyDescent="0.55000000000000004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x14ac:dyDescent="0.55000000000000004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x14ac:dyDescent="0.55000000000000004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x14ac:dyDescent="0.55000000000000004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x14ac:dyDescent="0.55000000000000004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x14ac:dyDescent="0.55000000000000004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x14ac:dyDescent="0.55000000000000004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x14ac:dyDescent="0.55000000000000004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x14ac:dyDescent="0.55000000000000004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x14ac:dyDescent="0.55000000000000004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x14ac:dyDescent="0.55000000000000004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x14ac:dyDescent="0.55000000000000004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x14ac:dyDescent="0.55000000000000004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x14ac:dyDescent="0.55000000000000004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x14ac:dyDescent="0.55000000000000004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x14ac:dyDescent="0.55000000000000004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x14ac:dyDescent="0.55000000000000004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x14ac:dyDescent="0.55000000000000004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x14ac:dyDescent="0.55000000000000004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x14ac:dyDescent="0.55000000000000004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x14ac:dyDescent="0.55000000000000004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x14ac:dyDescent="0.55000000000000004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x14ac:dyDescent="0.55000000000000004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x14ac:dyDescent="0.55000000000000004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x14ac:dyDescent="0.55000000000000004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x14ac:dyDescent="0.55000000000000004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x14ac:dyDescent="0.55000000000000004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x14ac:dyDescent="0.55000000000000004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x14ac:dyDescent="0.55000000000000004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x14ac:dyDescent="0.55000000000000004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x14ac:dyDescent="0.55000000000000004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x14ac:dyDescent="0.55000000000000004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x14ac:dyDescent="0.55000000000000004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x14ac:dyDescent="0.55000000000000004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x14ac:dyDescent="0.55000000000000004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x14ac:dyDescent="0.55000000000000004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x14ac:dyDescent="0.55000000000000004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x14ac:dyDescent="0.55000000000000004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x14ac:dyDescent="0.55000000000000004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x14ac:dyDescent="0.55000000000000004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x14ac:dyDescent="0.55000000000000004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x14ac:dyDescent="0.55000000000000004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x14ac:dyDescent="0.55000000000000004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x14ac:dyDescent="0.55000000000000004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x14ac:dyDescent="0.55000000000000004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x14ac:dyDescent="0.55000000000000004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x14ac:dyDescent="0.55000000000000004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x14ac:dyDescent="0.55000000000000004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x14ac:dyDescent="0.55000000000000004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x14ac:dyDescent="0.55000000000000004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x14ac:dyDescent="0.55000000000000004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x14ac:dyDescent="0.55000000000000004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x14ac:dyDescent="0.55000000000000004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x14ac:dyDescent="0.55000000000000004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x14ac:dyDescent="0.55000000000000004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x14ac:dyDescent="0.55000000000000004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x14ac:dyDescent="0.55000000000000004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x14ac:dyDescent="0.55000000000000004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x14ac:dyDescent="0.55000000000000004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x14ac:dyDescent="0.55000000000000004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x14ac:dyDescent="0.55000000000000004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x14ac:dyDescent="0.55000000000000004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x14ac:dyDescent="0.55000000000000004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x14ac:dyDescent="0.55000000000000004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x14ac:dyDescent="0.55000000000000004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x14ac:dyDescent="0.55000000000000004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x14ac:dyDescent="0.55000000000000004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x14ac:dyDescent="0.55000000000000004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x14ac:dyDescent="0.55000000000000004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x14ac:dyDescent="0.55000000000000004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x14ac:dyDescent="0.55000000000000004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x14ac:dyDescent="0.55000000000000004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x14ac:dyDescent="0.55000000000000004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x14ac:dyDescent="0.55000000000000004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x14ac:dyDescent="0.55000000000000004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x14ac:dyDescent="0.55000000000000004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x14ac:dyDescent="0.55000000000000004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x14ac:dyDescent="0.55000000000000004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x14ac:dyDescent="0.55000000000000004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x14ac:dyDescent="0.55000000000000004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x14ac:dyDescent="0.55000000000000004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x14ac:dyDescent="0.55000000000000004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x14ac:dyDescent="0.55000000000000004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x14ac:dyDescent="0.55000000000000004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x14ac:dyDescent="0.55000000000000004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x14ac:dyDescent="0.55000000000000004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x14ac:dyDescent="0.55000000000000004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x14ac:dyDescent="0.55000000000000004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x14ac:dyDescent="0.55000000000000004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x14ac:dyDescent="0.55000000000000004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x14ac:dyDescent="0.55000000000000004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x14ac:dyDescent="0.55000000000000004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x14ac:dyDescent="0.55000000000000004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x14ac:dyDescent="0.55000000000000004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x14ac:dyDescent="0.55000000000000004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x14ac:dyDescent="0.55000000000000004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x14ac:dyDescent="0.55000000000000004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x14ac:dyDescent="0.55000000000000004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x14ac:dyDescent="0.55000000000000004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x14ac:dyDescent="0.55000000000000004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x14ac:dyDescent="0.55000000000000004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x14ac:dyDescent="0.55000000000000004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x14ac:dyDescent="0.55000000000000004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x14ac:dyDescent="0.55000000000000004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x14ac:dyDescent="0.55000000000000004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x14ac:dyDescent="0.55000000000000004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x14ac:dyDescent="0.55000000000000004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x14ac:dyDescent="0.55000000000000004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x14ac:dyDescent="0.55000000000000004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x14ac:dyDescent="0.55000000000000004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x14ac:dyDescent="0.55000000000000004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x14ac:dyDescent="0.55000000000000004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x14ac:dyDescent="0.55000000000000004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x14ac:dyDescent="0.55000000000000004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x14ac:dyDescent="0.55000000000000004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x14ac:dyDescent="0.55000000000000004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x14ac:dyDescent="0.55000000000000004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x14ac:dyDescent="0.55000000000000004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x14ac:dyDescent="0.55000000000000004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x14ac:dyDescent="0.55000000000000004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x14ac:dyDescent="0.55000000000000004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Longest, Nicholas</dc:creator>
  <cp:lastModifiedBy>Longest, Nicholas</cp:lastModifiedBy>
  <dcterms:created xsi:type="dcterms:W3CDTF">2024-02-16T05:40:54Z</dcterms:created>
  <dcterms:modified xsi:type="dcterms:W3CDTF">2024-04-18T07:19:06Z</dcterms:modified>
</cp:coreProperties>
</file>